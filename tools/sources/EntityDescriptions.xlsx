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52d05afad47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tyDescriptions" sheetId="1" r:id="R7857c6b63185494a"/>
    <x:sheet xmlns:r="http://schemas.openxmlformats.org/officeDocument/2006/relationships" name="_lists" sheetId="2" r:id="Re646ff19325e445f"/>
  </x:sheets>
</x:workbook>
</file>

<file path=xl/sharedStrings.xml><?xml version="1.0" encoding="utf-8"?>
<x:sst xmlns:x="http://schemas.openxmlformats.org/spreadsheetml/2006/main">
  <x:si>
    <x:t xml:space="preserve">integration_name</x:t>
  </x:si>
  <x:si>
    <x:t xml:space="preserve">Solesta</x:t>
  </x:si>
  <x:si>
    <x:t xml:space="preserve">system_id</x:t>
  </x:si>
  <x:si>
    <x:t xml:space="preserve">{systemid}</x:t>
  </x:si>
  <x:si>
    <x:t xml:space="preserve">key</x:t>
  </x:si>
  <x:si>
    <x:t xml:space="preserve">Description</x:t>
  </x:si>
  <x:si>
    <x:t xml:space="preserve">translation_key</x:t>
  </x:si>
  <x:si>
    <x:t xml:space="preserve">name</x:t>
  </x:si>
  <x:si>
    <x:t xml:space="preserve">device_class</x:t>
  </x:si>
  <x:si>
    <x:t xml:space="preserve">native_unit_of_measurement</x:t>
  </x:si>
  <x:si>
    <x:t xml:space="preserve">state_class</x:t>
  </x:si>
  <x:si>
    <x:t xml:space="preserve">entity_category</x:t>
  </x:si>
  <x:si>
    <x:t xml:space="preserve">icon</x:t>
  </x:si>
  <x:si>
    <x:t xml:space="preserve">entity_registry_enabled_default</x:t>
  </x:si>
  <x:si>
    <x:t xml:space="preserve">entity_registry_visible_default</x:t>
  </x:si>
  <x:si>
    <x:t xml:space="preserve">suggested_display_precision</x:t>
  </x:si>
  <x:si>
    <x:t xml:space="preserve">has_entity_name</x:t>
  </x:si>
  <x:si>
    <x:t xml:space="preserve">native_min_value</x:t>
  </x:si>
  <x:si>
    <x:t xml:space="preserve">native_max_value</x:t>
  </x:si>
  <x:si>
    <x:t xml:space="preserve">native_step</x:t>
  </x:si>
  <x:si>
    <x:t xml:space="preserve">mode</x:t>
  </x:si>
  <x:si>
    <x:t xml:space="preserve">entity_type</x:t>
  </x:si>
  <x:si>
    <x:t xml:space="preserve">default_source_expression</x:t>
  </x:si>
  <x:si>
    <x:t xml:space="preserve">last_report</x:t>
  </x:si>
  <x:si>
    <x:t xml:space="preserve">Timestamp measurements were last reported</x:t>
  </x:si>
  <x:si>
    <x:t xml:space="preserve">Last reported timestamp</x:t>
  </x:si>
  <x:si>
    <x:t xml:space="preserve">timestamp</x:t>
  </x:si>
  <x:si>
    <x:t xml:space="preserve">mdi:clock-outline</x:t>
  </x:si>
  <x:si>
    <x:t xml:space="preserve">false</x:t>
  </x:si>
  <x:si>
    <x:t xml:space="preserve">true</x:t>
  </x:si>
  <x:si>
    <x:t xml:space="preserve">sensor</x:t>
  </x:si>
  <x:si>
    <x:t xml:space="preserve">last_update</x:t>
  </x:si>
  <x:si>
    <x:t xml:space="preserve">temp_collector</x:t>
  </x:si>
  <x:si>
    <x:t xml:space="preserve">Temperature of the collector fluid</x:t>
  </x:si>
  <x:si>
    <x:t xml:space="preserve">Collector temperature</x:t>
  </x:si>
  <x:si>
    <x:t xml:space="preserve">temperature</x:t>
  </x:si>
  <x:si>
    <x:t xml:space="preserve">°C</x:t>
  </x:si>
  <x:si>
    <x:t xml:space="preserve">measurement</x:t>
  </x:si>
  <x:si>
    <x:t xml:space="preserve">mdi:solar-panel</x:t>
  </x:si>
  <x:si>
    <x:t xml:space="preserve">to_number(temp1)</x:t>
  </x:si>
  <x:si>
    <x:t xml:space="preserve">temp_tank_top</x:t>
  </x:si>
  <x:si>
    <x:t xml:space="preserve">Temperature of the water in the tank,  measured at top</x:t>
  </x:si>
  <x:si>
    <x:t xml:space="preserve">Tank top temperature</x:t>
  </x:si>
  <x:si>
    <x:t xml:space="preserve">mdi:thermometer-chevron-up</x:t>
  </x:si>
  <x:si>
    <x:t xml:space="preserve">to_number(temp2)</x:t>
  </x:si>
  <x:si>
    <x:t xml:space="preserve">temp_tank_bottom</x:t>
  </x:si>
  <x:si>
    <x:t xml:space="preserve">Temperature of the water in the tank, measured at bottom</x:t>
  </x:si>
  <x:si>
    <x:t xml:space="preserve">Tank bottom temperature</x:t>
  </x:si>
  <x:si>
    <x:t xml:space="preserve">mdi:thermometer-chevron-down</x:t>
  </x:si>
  <x:si>
    <x:t xml:space="preserve">to_number(temp3)</x:t>
  </x:si>
  <x:si>
    <x:t xml:space="preserve">temp_reserved</x:t>
  </x:si>
  <x:si>
    <x:t xml:space="preserve">temperature sensor reserved for future use</x:t>
  </x:si>
  <x:si>
    <x:t xml:space="preserve">Unused temperature </x:t>
  </x:si>
  <x:si>
    <x:t xml:space="preserve">mdi:thermometer-off</x:t>
  </x:si>
  <x:si>
    <x:t xml:space="preserve">to_number(temp4)</x:t>
  </x:si>
  <x:si>
    <x:t xml:space="preserve">perc_pump_pwm</x:t>
  </x:si>
  <x:si>
    <x:t xml:space="preserve">pwm-percentage of pump recycling</x:t>
  </x:si>
  <x:si>
    <x:t xml:space="preserve">Pump PWM percentage</x:t>
  </x:si>
  <x:si>
    <x:t xml:space="preserve">%</x:t>
  </x:si>
  <x:si>
    <x:t xml:space="preserve">mdi:pump</x:t>
  </x:si>
  <x:si>
    <x:t xml:space="preserve">to_number(pump)</x:t>
  </x:si>
  <x:si>
    <x:t xml:space="preserve">temp_tank_average</x:t>
  </x:si>
  <x:si>
    <x:t xml:space="preserve">Average temperature of the water in the tank, calculated from top and bottom measurements.</x:t>
  </x:si>
  <x:si>
    <x:t xml:space="preserve">Tank water temperature</x:t>
  </x:si>
  <x:si>
    <x:t xml:space="preserve">mdi:water-thermometer</x:t>
  </x:si>
  <x:si>
    <x:t xml:space="preserve">round((temp_tank_bottom + temp_tank_top) / 2, 1)</x:t>
  </x:si>
  <x:si>
    <x:t xml:space="preserve">report_delay</x:t>
  </x:si>
  <x:si>
    <x:t xml:space="preserve">Delay zone of last_report (negation of the zone's maximum seconds), or last_report if no zone was found</x:t>
  </x:si>
  <x:si>
    <x:t xml:space="preserve">energy_tank_mj</x:t>
  </x:si>
  <x:si>
    <x:t xml:space="preserve">Energy of the water in the tank (MJ), calculated from average temperature and the configurable values volume_tank and temp_coldwater</x:t>
  </x:si>
  <x:si>
    <x:t xml:space="preserve">Tank energy in MJ</x:t>
  </x:si>
  <x:si>
    <x:t xml:space="preserve">energy_storage</x:t>
  </x:si>
  <x:si>
    <x:t xml:space="preserve">MJ</x:t>
  </x:si>
  <x:si>
    <x:t xml:space="preserve">mdi:lightning-bolt</x:t>
  </x:si>
  <x:si>
    <x:t xml:space="preserve">energy_tank_kwh</x:t>
  </x:si>
  <x:si>
    <x:t xml:space="preserve">Energy of the water in tank (kWh)</x:t>
  </x:si>
  <x:si>
    <x:t xml:space="preserve">Tank energy in kWh</x:t>
  </x:si>
  <x:si>
    <x:t xml:space="preserve">kWh</x:t>
  </x:si>
  <x:si>
    <x:t xml:space="preserve">energy_tank_showers</x:t>
  </x:si>
  <x:si>
    <x:t xml:space="preserve">Energy of the fluid in tank (standard showers), calculated from the configurable shower duration, temp and debit.</x:t>
  </x:si>
  <x:si>
    <x:t xml:space="preserve">Tank energy in showers</x:t>
  </x:si>
  <x:si>
    <x:t xml:space="preserve">mdi:shower-head</x:t>
  </x:si>
  <x:si>
    <x:t xml:space="preserve">round(energy_tank_kwh / energy_shower_kwh, 2)</x:t>
  </x:si>
  <x:si>
    <x:t xml:space="preserve">state_pump</x:t>
  </x:si>
  <x:si>
    <x:t xml:space="preserve">is  pump active or standby?</x:t>
  </x:si>
  <x:si>
    <x:t xml:space="preserve">Pump_status</x:t>
  </x:si>
  <x:si>
    <x:t xml:space="preserve">running</x:t>
  </x:si>
  <x:si>
    <x:t xml:space="preserve">diagnostic</x:t>
  </x:si>
  <x:si>
    <x:t xml:space="preserve">binary_sensor</x:t>
  </x:si>
  <x:si>
    <x:t xml:space="preserve">perc_pump_pwm&gt;0</x:t>
  </x:si>
  <x:si>
    <x:t xml:space="preserve">alerts_system</x:t>
  </x:si>
  <x:si>
    <x:t xml:space="preserve">string containing alerts, separated by \n</x:t>
  </x:si>
  <x:si>
    <x:t xml:space="preserve">Alert lines</x:t>
  </x:si>
  <x:si>
    <x:t xml:space="preserve">mdi:alert-outline</x:t>
  </x:si>
  <x:si>
    <x:t xml:space="preserve">status_reporting</x:t>
  </x:si>
  <x:si>
    <x:t xml:space="preserve">is the system reporting measurements?</x:t>
  </x:si>
  <x:si>
    <x:t xml:space="preserve">Reporting status</x:t>
  </x:si>
  <x:si>
    <x:t xml:space="preserve">connectivity</x:t>
  </x:si>
  <x:si>
    <x:t xml:space="preserve">mdi:cloud-check-outline</x:t>
  </x:si>
  <x:si>
    <x:t xml:space="preserve">status=="online"</x:t>
  </x:si>
  <x:si>
    <x:t xml:space="preserve">volume_tank</x:t>
  </x:si>
  <x:si>
    <x:t xml:space="preserve">Tank volume in Litres</x:t>
  </x:si>
  <x:si>
    <x:t xml:space="preserve">tank capacity</x:t>
  </x:si>
  <x:si>
    <x:t xml:space="preserve">volume_storage</x:t>
  </x:si>
  <x:si>
    <x:t xml:space="preserve">L</x:t>
  </x:si>
  <x:si>
    <x:t xml:space="preserve">config</x:t>
  </x:si>
  <x:si>
    <x:t xml:space="preserve">mdi:water-boiler</x:t>
  </x:si>
  <x:si>
    <x:t xml:space="preserve">slider</x:t>
  </x:si>
  <x:si>
    <x:t xml:space="preserve">number</x:t>
  </x:si>
  <x:si>
    <x:t xml:space="preserve">temp_coldwater</x:t>
  </x:si>
  <x:si>
    <x:t xml:space="preserve">Temperature of the water provided by the watersupplyer</x:t>
  </x:si>
  <x:si>
    <x:t xml:space="preserve">temperature of cold water</x:t>
  </x:si>
  <x:si>
    <x:t xml:space="preserve">mdi:thermometer-water</x:t>
  </x:si>
  <x:si>
    <x:t xml:space="preserve">energy_shower_kwh</x:t>
  </x:si>
  <x:si>
    <x:t xml:space="preserve">energy-consumpion of a standard shower</x:t>
  </x:si>
  <x:si>
    <x:t xml:space="preserve">kWh consumption of one shower</x:t>
  </x:si>
  <x:si>
    <x:t xml:space="preserve">energy</x:t>
  </x:si>
  <x:si>
    <x:t xml:space="preserve">mdi:shower</x:t>
  </x:si>
  <x:si>
    <x:t xml:space="preserve">box</x:t>
  </x:si>
  <x:si>
    <x:t xml:space="preserve">update_interval</x:t>
  </x:si>
  <x:si>
    <x:t xml:space="preserve">The systemstatus will be refreshed at this interval in seconds.</x:t>
  </x:si>
  <x:si>
    <x:t xml:space="preserve">status update_interval in seconds</x:t>
  </x:si>
  <x:si>
    <x:t xml:space="preserve">duration</x:t>
  </x:si>
  <x:si>
    <x:t xml:space="preserve">s</x:t>
  </x:si>
  <x:si>
    <x:t xml:space="preserve">mdi:timer-sync-outline</x:t>
  </x:si>
  <x:si>
    <x:t xml:space="preserve">auto</x:t>
  </x:si>
  <x:si>
    <x:t xml:space="preserve">total</x:t>
  </x:si>
  <x:si>
    <x:t xml:space="preserve">text</x:t>
  </x:si>
  <x:si>
    <x:t xml:space="preserve">power</x:t>
  </x:si>
  <x:si>
    <x:t xml:space="preserve">total_increasing</x:t>
  </x:si>
  <x:si>
    <x:t xml:space="preserve">select</x:t>
  </x:si>
  <x:si>
    <x:t xml:space="preserve">W</x:t>
  </x:si>
  <x:si>
    <x:t xml:space="preserve">volume</x:t>
  </x:si>
</x:sst>
</file>

<file path=xl/styles.xml><?xml version="1.0" encoding="utf-8"?>
<x:styleSheet xmlns:x="http://schemas.openxmlformats.org/spreadsheetml/2006/main">
  <x:numFmts count="3">
    <x:numFmt numFmtId="164" formatCode="#,##0.00000"/>
    <x:numFmt numFmtId="165" formatCode="0.########"/>
    <x:numFmt numFmtId="166" formatCode="0.00000"/>
  </x:numFmts>
  <x:fonts count="4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theme="1"/>
      <x:name val="Calibri"/>
    </x:font>
    <x:font>
      <x:sz val="10"/>
      <x:color theme="1"/>
      <x:name val="Arial Unicode MS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00"/>
      </x:patternFill>
    </x:fill>
    <x:fill>
      <x:patternFill patternType="solid">
        <x:fgColor rgb="FFD9D2E9"/>
      </x:patternFill>
    </x:fill>
    <x:fill>
      <x:patternFill patternType="solid">
        <x:fgColor rgb="FFD9D2E9"/>
      </x:patternFill>
    </x:fill>
    <x:fill>
      <x:patternFill patternType="solid">
        <x:fgColor rgb="FFFFFF00"/>
      </x:patternFill>
    </x:fill>
  </x:fills>
  <x:borders count="1">
    <x:border/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Font="1" applyAlignment="1">
      <x:alignment wrapText="1"/>
    </x:xf>
    <x:xf numFmtId="0" fontId="1" fillId="0" borderId="0" xfId="0" applyFont="1"/>
    <x:xf numFmtId="0" fontId="0" fillId="0" borderId="0" xfId="0" applyAlignment="1">
      <x:alignment wrapText="1"/>
    </x:xf>
    <x:xf numFmtId="165" fontId="1" fillId="0" borderId="0" xfId="0" applyNumberFormat="1" applyFont="1" applyAlignment="1">
      <x:alignment wrapText="1"/>
    </x:xf>
    <x:xf numFmtId="165" fontId="0" fillId="0" borderId="0" xfId="0" applyNumberFormat="1"/>
    <x:xf numFmtId="0" fontId="3" fillId="0" borderId="0" xfId="0" applyFont="1"/>
    <x:xf numFmtId="0" fontId="2" fillId="0" borderId="0" xfId="0" applyFont="1"/>
    <x:xf numFmtId="0" fontId="2" fillId="0" borderId="0" xfId="0" applyFont="1" applyAlignment="1">
      <x:alignment wrapText="1"/>
    </x:xf>
    <x:xf numFmtId="0" fontId="1" fillId="2" borderId="0" xfId="0" applyFont="1" applyFill="1"/>
    <x:xf numFmtId="0" fontId="0" fillId="2" borderId="0" xfId="0" applyFill="1" applyAlignment="1">
      <x:alignment wrapText="1"/>
    </x:xf>
    <x:xf numFmtId="0" fontId="0" fillId="2" borderId="0" xfId="0" applyFill="1"/>
    <x:xf numFmtId="0" fontId="3" fillId="2" borderId="0" xfId="0" applyFont="1" applyFill="1"/>
    <x:xf numFmtId="165" fontId="0" fillId="2" borderId="0" xfId="0" applyNumberFormat="1" applyFill="1"/>
    <x:xf numFmtId="0" fontId="1" fillId="3" borderId="0" xfId="0" applyFont="1" applyFill="1"/>
    <x:xf numFmtId="0" fontId="0" fillId="3" borderId="0" xfId="0" applyFill="1" applyAlignment="1">
      <x:alignment wrapText="1"/>
    </x:xf>
    <x:xf numFmtId="0" fontId="0" fillId="3" borderId="0" xfId="0" applyFill="1"/>
    <x:xf numFmtId="0" fontId="3" fillId="3" borderId="0" xfId="0" applyFont="1" applyFill="1"/>
    <x:xf numFmtId="165" fontId="0" fillId="3" borderId="0" xfId="0" applyNumberFormat="1" applyFill="1"/>
    <x:xf numFmtId="1" fontId="0" fillId="3" borderId="0" xfId="0" applyNumberFormat="1" applyFill="1"/>
    <x:xf numFmtId="0" fontId="1" fillId="4" borderId="0" xfId="0" applyFont="1" applyFill="1"/>
    <x:xf numFmtId="0" fontId="0" fillId="4" borderId="0" xfId="0" applyFill="1" applyAlignment="1">
      <x:alignment wrapText="1"/>
    </x:xf>
    <x:xf numFmtId="0" fontId="0" fillId="4" borderId="0" xfId="0" applyFill="1"/>
    <x:xf numFmtId="1" fontId="0" fillId="4" borderId="0" xfId="0" applyNumberFormat="1" applyFill="1"/>
    <x:xf numFmtId="165" fontId="0" fillId="4" borderId="0" xfId="0" applyNumberFormat="1" applyFill="1"/>
    <x:xf numFmtId="166" fontId="0" fillId="4" borderId="0" xfId="0" applyNumberFormat="1" applyFill="1"/>
    <x:xf numFmtId="164" fontId="0" fillId="4" borderId="0" xfId="0" applyNumberFormat="1" applyFill="1"/>
    <x:xf numFmtId="3" fontId="0" fillId="4" borderId="0" xfId="0" applyNumberFormat="1" applyFill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bottom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1" fillId="5" borderId="0" xfId="0" applyNumberFormat="1" applyFont="1" applyFill="1" applyBorder="1"/>
    <x:xf numFmtId="0" fontId="1" fillId="6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bottom"/>
    </x:xf>
    <x:xf numFmtId="0" fontId="0" fillId="5" borderId="0" xfId="0" applyNumberFormat="1" applyFont="1" applyFill="1" applyBorder="1" applyAlignment="1">
      <x:alignment vertical="bottom" wrapText="1"/>
    </x:xf>
    <x:xf numFmtId="0" fontId="0" fillId="5" borderId="0" xfId="0" applyNumberFormat="1" applyFont="1" applyFill="1" applyBorder="1" applyAlignment="1">
      <x:alignment vertical="bottom"/>
    </x:xf>
    <x:xf numFmtId="0" fontId="1" fillId="6" borderId="0" xfId="0" applyNumberFormat="1" applyFont="1" applyFill="1" applyBorder="1" applyAlignment="1">
      <x:alignment vertical="bottom"/>
    </x:xf>
    <x:xf numFmtId="0" fontId="0" fillId="6" borderId="0" xfId="0" applyNumberFormat="1" applyFont="1" applyFill="1" applyBorder="1" applyAlignment="1">
      <x:alignment vertical="bottom" wrapText="1"/>
    </x:xf>
    <x:xf numFmtId="0" fontId="0" fillId="6" borderId="0" xfId="0" applyNumberFormat="1" applyFont="1" applyFill="1" applyBorder="1" applyAlignment="1">
      <x:alignment vertical="bottom"/>
    </x:xf>
  </x:cellXfs>
  <x:cellStyles count="1">
    <x:cellStyle name="Standa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10efcd680f4aff" /><Relationship Type="http://schemas.openxmlformats.org/officeDocument/2006/relationships/theme" Target="/xl/theme/theme1.xml" Id="R15ae0fe2e72a454d" /><Relationship Type="http://schemas.openxmlformats.org/officeDocument/2006/relationships/sharedStrings" Target="/xl/sharedStrings.xml" Id="R64f25f2efac64431" /><Relationship Type="http://schemas.openxmlformats.org/officeDocument/2006/relationships/worksheet" Target="/xl/worksheets/sheet1.xml" Id="R7857c6b63185494a" /><Relationship Type="http://schemas.openxmlformats.org/officeDocument/2006/relationships/worksheet" Target="/xl/worksheets/sheet2.xml" Id="Re646ff19325e445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18" style="2" customWidth="1"/>
    <x:col min="2" max="2" width="36.5" style="3" customWidth="1"/>
    <x:col min="3" max="3" width="17" customWidth="1"/>
    <x:col min="4" max="4" width="27" customWidth="1"/>
    <x:col min="5" max="5" width="11.5" customWidth="1"/>
    <x:col min="6" max="6" width="10.6640625" customWidth="1"/>
    <x:col min="7" max="7" width="11.5" customWidth="1"/>
    <x:col min="8" max="8" width="11" customWidth="1"/>
    <x:col min="9" max="9" width="25.6640625" customWidth="1"/>
    <x:col min="10" max="10" width="5.6640625" customWidth="1"/>
    <x:col min="12" max="12" width="7.6640625" customWidth="1"/>
    <x:col min="13" max="13" width="5.6640625" customWidth="1"/>
    <x:col min="14" max="14" width="7.5" customWidth="1"/>
    <x:col min="15" max="15" width="10" customWidth="1"/>
    <x:col min="16" max="16" width="7.5" customWidth="1"/>
    <x:col min="17" max="17" width="5.83203125" customWidth="1"/>
    <x:col min="18" max="18" width="11.83203125" customWidth="1"/>
    <x:col min="19" max="19" width="42" hidden="0" customWidth="1"/>
    <x:col min="20" max="20" width="26" customWidth="1"/>
  </x:cols>
  <x:sheetData>
    <x:row r="1" s="2" customFormat="1">
      <x:c r="A1" s="2" t="s">
        <x:v>0</x:v>
      </x:c>
      <x:c r="B1" s="2" t="s">
        <x:v>1</x:v>
      </x:c>
      <x:c r="C1" t="str">
        <x:v>catalog_revision</x:v>
      </x:c>
      <x:c r="D1" t="n">
        <x:v>7</x:v>
      </x:c>
    </x:row>
    <x:row r="2">
      <x:c r="A2" s="2" t="s">
        <x:v>2</x:v>
      </x:c>
      <x:c r="B2" s="2" t="s">
        <x:v>3</x:v>
      </x:c>
    </x:row>
    <x:row r="3" s="1" customFormat="1" ht="96">
      <x:c r="A3" s="1" t="s">
        <x:v>4</x:v>
      </x:c>
      <x:c r="B3" s="1" t="s">
        <x:v>5</x:v>
      </x:c>
      <x:c r="C3" s="1" t="s">
        <x:v>6</x:v>
      </x:c>
      <x:c r="D3" s="1" t="s">
        <x:v>7</x:v>
      </x:c>
      <x:c r="E3" s="1" t="s">
        <x:v>8</x:v>
      </x:c>
      <x:c r="F3" s="1" t="s">
        <x:v>9</x:v>
      </x:c>
      <x:c r="G3" s="1" t="s">
        <x:v>10</x:v>
      </x:c>
      <x:c r="H3" s="1" t="s">
        <x:v>11</x:v>
      </x:c>
      <x:c r="I3" s="1" t="s">
        <x:v>12</x:v>
      </x:c>
      <x:c r="J3" s="1" t="s">
        <x:v>13</x:v>
      </x:c>
      <x:c r="K3" s="1" t="s">
        <x:v>14</x:v>
      </x:c>
      <x:c r="L3" s="1" t="s">
        <x:v>15</x:v>
      </x:c>
      <x:c r="M3" s="1" t="s">
        <x:v>16</x:v>
      </x:c>
      <x:c r="N3" s="4" t="s">
        <x:v>17</x:v>
      </x:c>
      <x:c r="O3" s="4" t="s">
        <x:v>18</x:v>
      </x:c>
      <x:c r="P3" s="4" t="s">
        <x:v>19</x:v>
      </x:c>
      <x:c r="Q3" s="1" t="s">
        <x:v>20</x:v>
      </x:c>
      <x:c r="R3" s="1" t="s">
        <x:v>21</x:v>
      </x:c>
      <x:c r="S3" s="30" t="str">
        <x:v>options</x:v>
      </x:c>
      <x:c r="T3" s="1" t="s">
        <x:v>22</x:v>
      </x:c>
    </x:row>
    <x:row r="4" ht="17">
      <x:c r="A4" s="2" t="s">
        <x:v>23</x:v>
      </x:c>
      <x:c r="B4" s="3" t="s">
        <x:v>24</x:v>
      </x:c>
      <x:c r="C4" t="str">
        <x:f t="shared" ref="C4:C20" si="0">$A4</x:f>
        <x:v>last_report</x:v>
      </x:c>
      <x:c r="D4" t="s">
        <x:v>25</x:v>
      </x:c>
      <x:c r="E4" t="s">
        <x:v>26</x:v>
      </x:c>
      <x:c r="I4" s="6" t="s">
        <x:v>27</x:v>
      </x:c>
      <x:c r="J4" t="s">
        <x:v>28</x:v>
      </x:c>
      <x:c r="K4" t="s">
        <x:v>29</x:v>
      </x:c>
      <x:c r="M4" t="s">
        <x:v>29</x:v>
      </x:c>
      <x:c r="N4" s="5"/>
      <x:c r="O4" s="5"/>
      <x:c r="P4" s="5"/>
      <x:c r="R4" t="s">
        <x:v>30</x:v>
      </x:c>
      <x:c r="T4" t="s">
        <x:v>31</x:v>
      </x:c>
    </x:row>
    <x:row r="5" ht="17">
      <x:c r="A5" s="2" t="s">
        <x:v>32</x:v>
      </x:c>
      <x:c r="B5" s="3" t="s">
        <x:v>33</x:v>
      </x:c>
      <x:c r="C5" t="str">
        <x:f t="shared" si="0"/>
        <x:v>temp_collector</x:v>
      </x:c>
      <x:c r="D5" t="s">
        <x:v>34</x:v>
      </x:c>
      <x:c r="E5" t="s">
        <x:v>35</x:v>
      </x:c>
      <x:c r="F5" t="s">
        <x:v>36</x:v>
      </x:c>
      <x:c r="G5" t="s">
        <x:v>37</x:v>
      </x:c>
      <x:c r="I5" s="6" t="s">
        <x:v>38</x:v>
      </x:c>
      <x:c r="J5" t="s">
        <x:v>29</x:v>
      </x:c>
      <x:c r="K5" t="s">
        <x:v>29</x:v>
      </x:c>
      <x:c r="L5">
        <x:v>0</x:v>
      </x:c>
      <x:c r="M5" t="s">
        <x:v>29</x:v>
      </x:c>
      <x:c r="N5" s="5"/>
      <x:c r="O5" s="5"/>
      <x:c r="P5" s="5"/>
      <x:c r="R5" t="s">
        <x:v>30</x:v>
      </x:c>
      <x:c r="T5" t="s">
        <x:v>39</x:v>
      </x:c>
    </x:row>
    <x:row r="6" ht="33">
      <x:c r="A6" s="2" t="s">
        <x:v>40</x:v>
      </x:c>
      <x:c r="B6" s="3" t="s">
        <x:v>41</x:v>
      </x:c>
      <x:c r="C6" t="str">
        <x:f t="shared" si="0"/>
        <x:v>temp_tank_top</x:v>
      </x:c>
      <x:c r="D6" t="s">
        <x:v>42</x:v>
      </x:c>
      <x:c r="E6" t="s">
        <x:v>35</x:v>
      </x:c>
      <x:c r="F6" t="s">
        <x:v>36</x:v>
      </x:c>
      <x:c r="G6" t="s">
        <x:v>37</x:v>
      </x:c>
      <x:c r="I6" s="6" t="s">
        <x:v>43</x:v>
      </x:c>
      <x:c r="J6" t="s">
        <x:v>29</x:v>
      </x:c>
      <x:c r="K6" t="s">
        <x:v>29</x:v>
      </x:c>
      <x:c r="L6">
        <x:v>0</x:v>
      </x:c>
      <x:c r="M6" t="s">
        <x:v>29</x:v>
      </x:c>
      <x:c r="N6" s="5"/>
      <x:c r="O6" s="5"/>
      <x:c r="P6" s="5"/>
      <x:c r="R6" t="s">
        <x:v>30</x:v>
      </x:c>
      <x:c r="T6" t="s">
        <x:v>44</x:v>
      </x:c>
    </x:row>
    <x:row r="7" ht="33">
      <x:c r="A7" s="2" t="s">
        <x:v>45</x:v>
      </x:c>
      <x:c r="B7" s="3" t="s">
        <x:v>46</x:v>
      </x:c>
      <x:c r="C7" t="str">
        <x:f t="shared" si="0"/>
        <x:v>temp_tank_bottom</x:v>
      </x:c>
      <x:c r="D7" t="s">
        <x:v>47</x:v>
      </x:c>
      <x:c r="E7" t="s">
        <x:v>35</x:v>
      </x:c>
      <x:c r="F7" t="s">
        <x:v>36</x:v>
      </x:c>
      <x:c r="G7" t="s">
        <x:v>37</x:v>
      </x:c>
      <x:c r="I7" s="6" t="s">
        <x:v>48</x:v>
      </x:c>
      <x:c r="J7" t="s">
        <x:v>29</x:v>
      </x:c>
      <x:c r="K7" t="s">
        <x:v>29</x:v>
      </x:c>
      <x:c r="L7">
        <x:v>0</x:v>
      </x:c>
      <x:c r="M7" t="s">
        <x:v>29</x:v>
      </x:c>
      <x:c r="N7" s="5"/>
      <x:c r="O7" s="5"/>
      <x:c r="P7" s="5"/>
      <x:c r="R7" t="s">
        <x:v>30</x:v>
      </x:c>
      <x:c r="T7" t="s">
        <x:v>49</x:v>
      </x:c>
    </x:row>
    <x:row r="8" ht="17">
      <x:c r="A8" s="2" t="s">
        <x:v>50</x:v>
      </x:c>
      <x:c r="B8" s="3" t="s">
        <x:v>51</x:v>
      </x:c>
      <x:c r="C8" t="str">
        <x:f t="shared" si="0"/>
        <x:v>temp_reserved</x:v>
      </x:c>
      <x:c r="D8" t="s">
        <x:v>52</x:v>
      </x:c>
      <x:c r="E8" t="s">
        <x:v>35</x:v>
      </x:c>
      <x:c r="F8" t="s">
        <x:v>36</x:v>
      </x:c>
      <x:c r="G8" t="s">
        <x:v>37</x:v>
      </x:c>
      <x:c r="I8" s="6" t="s">
        <x:v>53</x:v>
      </x:c>
      <x:c r="J8" t="s">
        <x:v>28</x:v>
      </x:c>
      <x:c r="K8" t="s">
        <x:v>28</x:v>
      </x:c>
      <x:c r="L8">
        <x:v>0</x:v>
      </x:c>
      <x:c r="M8" t="s">
        <x:v>29</x:v>
      </x:c>
      <x:c r="N8" s="5"/>
      <x:c r="O8" s="5"/>
      <x:c r="P8" s="5"/>
      <x:c r="R8" t="s">
        <x:v>30</x:v>
      </x:c>
      <x:c r="T8" t="s">
        <x:v>54</x:v>
      </x:c>
    </x:row>
    <x:row r="9" ht="17">
      <x:c r="A9" s="2" t="s">
        <x:v>55</x:v>
      </x:c>
      <x:c r="B9" s="3" t="s">
        <x:v>56</x:v>
      </x:c>
      <x:c r="C9" t="str">
        <x:f>$A9</x:f>
        <x:v>perc_pump_pwm</x:v>
      </x:c>
      <x:c r="D9" t="s">
        <x:v>57</x:v>
      </x:c>
      <x:c r="F9" t="s">
        <x:v>58</x:v>
      </x:c>
      <x:c r="G9" t="s">
        <x:v>37</x:v>
      </x:c>
      <x:c r="I9" s="6" t="s">
        <x:v>59</x:v>
      </x:c>
      <x:c r="J9" t="s">
        <x:v>29</x:v>
      </x:c>
      <x:c r="K9" t="s">
        <x:v>29</x:v>
      </x:c>
      <x:c r="L9">
        <x:v>0</x:v>
      </x:c>
      <x:c r="M9" t="s">
        <x:v>29</x:v>
      </x:c>
      <x:c r="N9" s="5"/>
      <x:c r="O9" s="5"/>
      <x:c r="P9" s="5"/>
      <x:c r="R9" t="s">
        <x:v>30</x:v>
      </x:c>
      <x:c r="T9" t="s">
        <x:v>60</x:v>
      </x:c>
    </x:row>
    <x:row r="10" ht="49">
      <x:c r="A10" s="2" t="s">
        <x:v>61</x:v>
      </x:c>
      <x:c r="B10" s="8" t="s">
        <x:v>62</x:v>
      </x:c>
      <x:c r="C10" t="s">
        <x:v>61</x:v>
      </x:c>
      <x:c r="D10" s="7" t="s">
        <x:v>63</x:v>
      </x:c>
      <x:c r="E10" t="s">
        <x:v>35</x:v>
      </x:c>
      <x:c r="F10" t="s">
        <x:v>36</x:v>
      </x:c>
      <x:c r="G10" t="s">
        <x:v>37</x:v>
      </x:c>
      <x:c r="I10" s="6" t="s">
        <x:v>64</x:v>
      </x:c>
      <x:c r="J10" t="s">
        <x:v>29</x:v>
      </x:c>
      <x:c r="K10" t="s">
        <x:v>29</x:v>
      </x:c>
      <x:c r="L10">
        <x:v>1</x:v>
      </x:c>
      <x:c r="M10" t="s">
        <x:v>29</x:v>
      </x:c>
      <x:c r="N10" s="5"/>
      <x:c r="O10" s="5"/>
      <x:c r="P10" s="5"/>
      <x:c r="R10" t="s">
        <x:v>30</x:v>
      </x:c>
      <x:c r="T10" s="7" t="s">
        <x:v>65</x:v>
      </x:c>
    </x:row>
    <x:row r="11" ht="49">
      <x:c r="A11" s="2" t="s">
        <x:v>66</x:v>
      </x:c>
      <x:c r="B11" s="3" t="s">
        <x:v>67</x:v>
      </x:c>
      <x:c r="C11" t="str">
        <x:f t="shared" si="0"/>
        <x:v>report_delay</x:v>
      </x:c>
      <x:c r="D11" t="str">
        <x:v>Report delay</x:v>
      </x:c>
      <x:c r="I11" s="6" t="str">
        <x:v>mdi:timer-sand</x:v>
      </x:c>
      <x:c r="J11" t="s">
        <x:v>29</x:v>
      </x:c>
      <x:c r="K11" t="s">
        <x:v>29</x:v>
      </x:c>
      <x:c r="L11"/>
      <x:c r="M11" t="s">
        <x:v>29</x:v>
      </x:c>
      <x:c r="N11" s="5"/>
      <x:c r="O11" s="5"/>
      <x:c r="P11" s="5"/>
      <x:c r="R11" t="s">
        <x:v>30</x:v>
      </x:c>
      <x:c r="T11" t="str">
        <x:v>delay_zone(last_report, 2*60+30, 10*60)</x:v>
      </x:c>
    </x:row>
    <x:row r="12" ht="65">
      <x:c r="A12" s="2" t="s">
        <x:v>68</x:v>
      </x:c>
      <x:c r="B12" s="3" t="s">
        <x:v>69</x:v>
      </x:c>
      <x:c r="C12" t="str">
        <x:f t="shared" si="0"/>
        <x:v>energy_tank_mj</x:v>
      </x:c>
      <x:c r="D12" t="s">
        <x:v>70</x:v>
      </x:c>
      <x:c r="E12" t="s">
        <x:v>71</x:v>
      </x:c>
      <x:c r="F12" t="s">
        <x:v>72</x:v>
      </x:c>
      <x:c r="G12" t="str">
        <x:v>measurement</x:v>
      </x:c>
      <x:c r="I12" s="6" t="s">
        <x:v>73</x:v>
      </x:c>
      <x:c r="J12" t="s">
        <x:v>29</x:v>
      </x:c>
      <x:c r="K12" t="s">
        <x:v>29</x:v>
      </x:c>
      <x:c r="L12">
        <x:v>4</x:v>
      </x:c>
      <x:c r="M12" t="s">
        <x:v>29</x:v>
      </x:c>
      <x:c r="N12" s="5"/>
      <x:c r="O12" s="5"/>
      <x:c r="P12" s="5"/>
      <x:c r="R12" t="s">
        <x:v>30</x:v>
      </x:c>
      <x:c r="T12" t="str">
        <x:v>round(volume_tank * (temp_tank_average - temp_coldwater) * 4.186 / 1000, 4)</x:v>
      </x:c>
    </x:row>
    <x:row r="13" ht="17">
      <x:c r="A13" s="2" t="s">
        <x:v>74</x:v>
      </x:c>
      <x:c r="B13" s="3" t="s">
        <x:v>75</x:v>
      </x:c>
      <x:c r="C13" t="str">
        <x:f t="shared" si="0"/>
        <x:v>energy_tank_kwh</x:v>
      </x:c>
      <x:c r="D13" t="s">
        <x:v>76</x:v>
      </x:c>
      <x:c r="E13" t="s">
        <x:v>71</x:v>
      </x:c>
      <x:c r="F13" t="s">
        <x:v>77</x:v>
      </x:c>
      <x:c r="G13" t="str">
        <x:v>measurement</x:v>
      </x:c>
      <x:c r="I13" s="6" t="s">
        <x:v>73</x:v>
      </x:c>
      <x:c r="J13" t="s">
        <x:v>29</x:v>
      </x:c>
      <x:c r="K13" t="s">
        <x:v>29</x:v>
      </x:c>
      <x:c r="L13">
        <x:v>3</x:v>
      </x:c>
      <x:c r="M13" t="s">
        <x:v>29</x:v>
      </x:c>
      <x:c r="N13" s="5"/>
      <x:c r="O13" s="5"/>
      <x:c r="P13" s="5"/>
      <x:c r="R13" t="s">
        <x:v>30</x:v>
      </x:c>
      <x:c r="T13" t="str">
        <x:v>round(energy_tank_mj / 3.6, 3)</x:v>
      </x:c>
    </x:row>
    <x:row r="14" ht="49">
      <x:c r="A14" s="9" t="s">
        <x:v>78</x:v>
      </x:c>
      <x:c r="B14" s="10" t="s">
        <x:v>79</x:v>
      </x:c>
      <x:c r="C14" s="11" t="str">
        <x:f t="shared" si="0"/>
        <x:v>energy_tank_showers</x:v>
      </x:c>
      <x:c r="D14" s="11" t="s">
        <x:v>80</x:v>
      </x:c>
      <x:c r="E14" s="11"/>
      <x:c r="F14" s="11"/>
      <x:c r="G14" s="11" t="s">
        <x:v>37</x:v>
      </x:c>
      <x:c r="H14" s="11"/>
      <x:c r="I14" s="12" t="s">
        <x:v>81</x:v>
      </x:c>
      <x:c r="J14" s="11" t="s">
        <x:v>29</x:v>
      </x:c>
      <x:c r="K14" s="11" t="s">
        <x:v>29</x:v>
      </x:c>
      <x:c r="L14" s="11">
        <x:v>2</x:v>
      </x:c>
      <x:c r="M14" s="11" t="s">
        <x:v>29</x:v>
      </x:c>
      <x:c r="N14" s="13"/>
      <x:c r="O14" s="13"/>
      <x:c r="P14" s="13"/>
      <x:c r="Q14" s="11"/>
      <x:c r="R14" s="11" t="s">
        <x:v>30</x:v>
      </x:c>
      <x:c r="S14" s="11"/>
      <x:c r="T14" s="11" t="s">
        <x:v>82</x:v>
      </x:c>
    </x:row>
    <x:row r="15" ht="17">
      <x:c r="A15" s="14" t="s">
        <x:v>83</x:v>
      </x:c>
      <x:c r="B15" s="15" t="s">
        <x:v>84</x:v>
      </x:c>
      <x:c r="C15" s="16" t="str">
        <x:f t="shared" si="0"/>
        <x:v>state_pump</x:v>
      </x:c>
      <x:c r="D15" s="16" t="s">
        <x:v>85</x:v>
      </x:c>
      <x:c r="E15" s="16" t="s">
        <x:v>86</x:v>
      </x:c>
      <x:c r="F15" s="16"/>
      <x:c r="G15" s="16"/>
      <x:c r="H15" s="16" t="s">
        <x:v>87</x:v>
      </x:c>
      <x:c r="I15" s="17" t="s">
        <x:v>59</x:v>
      </x:c>
      <x:c r="J15" s="16" t="s">
        <x:v>29</x:v>
      </x:c>
      <x:c r="K15" s="16" t="s">
        <x:v>29</x:v>
      </x:c>
      <x:c r="L15" s="16"/>
      <x:c r="M15" s="16" t="s">
        <x:v>29</x:v>
      </x:c>
      <x:c r="N15" s="18"/>
      <x:c r="O15" s="18"/>
      <x:c r="P15" s="18"/>
      <x:c r="Q15" s="16"/>
      <x:c r="R15" s="16" t="s">
        <x:v>88</x:v>
      </x:c>
      <x:c r="S15" s="16"/>
      <x:c r="T15" s="16" t="s">
        <x:v>89</x:v>
      </x:c>
    </x:row>
    <x:row r="16" ht="17">
      <x:c r="A16" s="14" t="s">
        <x:v>90</x:v>
      </x:c>
      <x:c r="B16" s="15" t="s">
        <x:v>91</x:v>
      </x:c>
      <x:c r="C16" s="16" t="s">
        <x:v>90</x:v>
      </x:c>
      <x:c r="D16" s="16" t="s">
        <x:v>92</x:v>
      </x:c>
      <x:c r="E16" s="16"/>
      <x:c r="F16" s="16"/>
      <x:c r="G16" s="16"/>
      <x:c r="H16" s="16" t="s">
        <x:v>87</x:v>
      </x:c>
      <x:c r="I16" s="17" t="s">
        <x:v>93</x:v>
      </x:c>
      <x:c r="J16" s="16" t="s">
        <x:v>29</x:v>
      </x:c>
      <x:c r="K16" s="16" t="s">
        <x:v>29</x:v>
      </x:c>
      <x:c r="L16" s="16"/>
      <x:c r="M16" s="16" t="s">
        <x:v>29</x:v>
      </x:c>
      <x:c r="N16" s="18"/>
      <x:c r="O16" s="18"/>
      <x:c r="P16" s="18"/>
      <x:c r="Q16" s="16"/>
      <x:c r="R16" s="16" t="s">
        <x:v>30</x:v>
      </x:c>
      <x:c r="S16" s="16"/>
      <x:c r="T16" s="16" t="str">
        <x:v>join_lines(alerts)</x:v>
      </x:c>
    </x:row>
    <x:row r="17" ht="17">
      <x:c r="A17" s="14" t="s">
        <x:v>94</x:v>
      </x:c>
      <x:c r="B17" s="15" t="s">
        <x:v>95</x:v>
      </x:c>
      <x:c r="C17" s="16" t="str">
        <x:f t="shared" si="0"/>
        <x:v>status_reporting</x:v>
      </x:c>
      <x:c r="D17" s="16" t="s">
        <x:v>96</x:v>
      </x:c>
      <x:c r="E17" s="16" t="s">
        <x:v>97</x:v>
      </x:c>
      <x:c r="F17" s="16"/>
      <x:c r="G17" s="16"/>
      <x:c r="H17" s="16" t="s">
        <x:v>87</x:v>
      </x:c>
      <x:c r="I17" s="17" t="s">
        <x:v>98</x:v>
      </x:c>
      <x:c r="J17" s="16" t="s">
        <x:v>29</x:v>
      </x:c>
      <x:c r="K17" s="16" t="s">
        <x:v>29</x:v>
      </x:c>
      <x:c r="L17" s="16"/>
      <x:c r="M17" s="16" t="s">
        <x:v>29</x:v>
      </x:c>
      <x:c r="N17" s="19"/>
      <x:c r="O17" s="19"/>
      <x:c r="P17" s="19"/>
      <x:c r="Q17" s="16"/>
      <x:c r="R17" s="16" t="s">
        <x:v>88</x:v>
      </x:c>
      <x:c r="S17" s="16"/>
      <x:c r="T17" s="16" t="s">
        <x:v>99</x:v>
      </x:c>
    </x:row>
    <x:row r="18" ht="16">
      <x:c r="A18" s="20" t="s">
        <x:v>100</x:v>
      </x:c>
      <x:c r="B18" s="21" t="s">
        <x:v>101</x:v>
      </x:c>
      <x:c r="C18" s="22" t="str">
        <x:f t="shared" si="0"/>
        <x:v>volume_tank</x:v>
      </x:c>
      <x:c r="D18" s="22" t="s">
        <x:v>102</x:v>
      </x:c>
      <x:c r="E18" s="22" t="s">
        <x:v>103</x:v>
      </x:c>
      <x:c r="F18" s="22" t="s">
        <x:v>104</x:v>
      </x:c>
      <x:c r="G18" s="22"/>
      <x:c r="H18" s="22" t="s">
        <x:v>105</x:v>
      </x:c>
      <x:c r="I18" s="22" t="s">
        <x:v>106</x:v>
      </x:c>
      <x:c r="J18" s="22" t="s">
        <x:v>29</x:v>
      </x:c>
      <x:c r="K18" s="22" t="s">
        <x:v>28</x:v>
      </x:c>
      <x:c r="L18" s="22">
        <x:v>0</x:v>
      </x:c>
      <x:c r="M18" s="22" t="s">
        <x:v>29</x:v>
      </x:c>
      <x:c r="N18" s="23">
        <x:v>1</x:v>
      </x:c>
      <x:c r="O18" s="23">
        <x:v>250</x:v>
      </x:c>
      <x:c r="P18" s="23">
        <x:v>1</x:v>
      </x:c>
      <x:c r="Q18" s="22" t="s">
        <x:v>107</x:v>
      </x:c>
      <x:c r="R18" s="22" t="s">
        <x:v>108</x:v>
      </x:c>
      <x:c r="S18" s="22"/>
      <x:c r="T18" s="22">
        <x:v>100</x:v>
      </x:c>
    </x:row>
    <x:row r="19" ht="32">
      <x:c r="A19" s="20" t="s">
        <x:v>109</x:v>
      </x:c>
      <x:c r="B19" s="21" t="s">
        <x:v>110</x:v>
      </x:c>
      <x:c r="C19" s="22" t="str">
        <x:f t="shared" si="0"/>
        <x:v>temp_coldwater</x:v>
      </x:c>
      <x:c r="D19" s="22" t="s">
        <x:v>111</x:v>
      </x:c>
      <x:c r="E19" s="22" t="s">
        <x:v>35</x:v>
      </x:c>
      <x:c r="F19" s="22" t="s">
        <x:v>36</x:v>
      </x:c>
      <x:c r="G19" s="22"/>
      <x:c r="H19" s="22" t="s">
        <x:v>105</x:v>
      </x:c>
      <x:c r="I19" s="22" t="s">
        <x:v>112</x:v>
      </x:c>
      <x:c r="J19" s="22" t="s">
        <x:v>29</x:v>
      </x:c>
      <x:c r="K19" s="22" t="s">
        <x:v>28</x:v>
      </x:c>
      <x:c r="L19" s="22">
        <x:v>0</x:v>
      </x:c>
      <x:c r="M19" s="22" t="s">
        <x:v>29</x:v>
      </x:c>
      <x:c r="N19" s="24">
        <x:v>0</x:v>
      </x:c>
      <x:c r="O19" s="25">
        <x:v>20</x:v>
      </x:c>
      <x:c r="P19" s="24">
        <x:v>1</x:v>
      </x:c>
      <x:c r="Q19" s="22" t="s">
        <x:v>107</x:v>
      </x:c>
      <x:c r="R19" s="22" t="s">
        <x:v>108</x:v>
      </x:c>
      <x:c r="S19" s="22"/>
      <x:c r="T19" s="26">
        <x:v>12</x:v>
      </x:c>
    </x:row>
    <x:row r="20" ht="16">
      <x:c r="A20" s="20" t="s">
        <x:v>113</x:v>
      </x:c>
      <x:c r="B20" s="21" t="s">
        <x:v>114</x:v>
      </x:c>
      <x:c r="C20" s="22" t="str">
        <x:f t="shared" si="0"/>
        <x:v>energy_shower_kwh</x:v>
      </x:c>
      <x:c r="D20" s="22" t="s">
        <x:v>115</x:v>
      </x:c>
      <x:c r="E20" s="22" t="s">
        <x:v>116</x:v>
      </x:c>
      <x:c r="F20" s="22" t="s">
        <x:v>77</x:v>
      </x:c>
      <x:c r="G20" s="22"/>
      <x:c r="H20" s="22" t="s">
        <x:v>105</x:v>
      </x:c>
      <x:c r="I20" s="22" t="s">
        <x:v>117</x:v>
      </x:c>
      <x:c r="J20" s="22" t="s">
        <x:v>29</x:v>
      </x:c>
      <x:c r="K20" s="22" t="s">
        <x:v>28</x:v>
      </x:c>
      <x:c r="L20" s="22" t="n">
        <x:v>5</x:v>
      </x:c>
      <x:c r="M20" s="22" t="s">
        <x:v>29</x:v>
      </x:c>
      <x:c r="N20" s="23">
        <x:v>1.0000000000000001E-5</x:v>
      </x:c>
      <x:c r="O20" s="23">
        <x:v>10</x:v>
      </x:c>
      <x:c r="P20" s="23">
        <x:v>1.0000000000000001E-5</x:v>
      </x:c>
      <x:c r="Q20" s="22" t="s">
        <x:v>118</x:v>
      </x:c>
      <x:c r="R20" s="22" t="s">
        <x:v>108</x:v>
      </x:c>
      <x:c r="S20" s="22"/>
      <x:c r="T20" s="27" t="str">
        <x:v>round( (5 * 8 * (38 - temp_coldwater) * 4.186) / 3600, 5)</x:v>
      </x:c>
    </x:row>
    <x:row r="21">
      <x:c r="A21" s="22" t="s">
        <x:v>119</x:v>
      </x:c>
      <x:c r="B21" s="22" t="s">
        <x:v>120</x:v>
      </x:c>
      <x:c r="C21" s="22" t="s">
        <x:v>119</x:v>
      </x:c>
      <x:c r="D21" s="22" t="s">
        <x:v>121</x:v>
      </x:c>
      <x:c r="E21" s="22" t="s">
        <x:v>122</x:v>
      </x:c>
      <x:c r="F21" s="22" t="s">
        <x:v>123</x:v>
      </x:c>
      <x:c r="G21" s="22"/>
      <x:c r="H21" s="22" t="s">
        <x:v>105</x:v>
      </x:c>
      <x:c r="I21" s="22" t="s">
        <x:v>124</x:v>
      </x:c>
      <x:c r="J21" s="22" t="s">
        <x:v>29</x:v>
      </x:c>
      <x:c r="K21" s="22" t="s">
        <x:v>28</x:v>
      </x:c>
      <x:c r="L21" s="22">
        <x:v>0</x:v>
      </x:c>
      <x:c r="M21" s="22" t="s">
        <x:v>29</x:v>
      </x:c>
      <x:c r="N21" s="22">
        <x:v>15</x:v>
      </x:c>
      <x:c r="O21" s="22">
        <x:v>3600</x:v>
      </x:c>
      <x:c r="P21" s="22">
        <x:v>15</x:v>
      </x:c>
      <x:c r="Q21" s="22" t="s">
        <x:v>107</x:v>
      </x:c>
      <x:c r="R21" s="22" t="s">
        <x:v>108</x:v>
      </x:c>
      <x:c r="S21" s="22"/>
      <x:c r="T21" s="22">
        <x:v>15</x:v>
      </x:c>
    </x:row>
    <x:row r="22" ht="26.399999618530273" hidden="0" customHeight="1">
      <x:c r="A22" s="37" t="str">
        <x:v>weekly_archive</x:v>
      </x:c>
      <x:c r="B22" s="38" t="str">
        <x:v>Enable automatic weekly source archives for this system</x:v>
      </x:c>
      <x:c r="C22" s="39" t="str">
        <x:v>weekly_archive</x:v>
      </x:c>
      <x:c r="D22" s="39" t="str">
        <x:v>Weekly source archive</x:v>
      </x:c>
      <x:c r="E22" s="39"/>
      <x:c r="F22" s="39"/>
      <x:c r="G22" s="39"/>
      <x:c r="H22" s="39" t="str">
        <x:v>config</x:v>
      </x:c>
      <x:c r="I22" s="39" t="str">
        <x:v>mdi:archive-clock</x:v>
      </x:c>
      <x:c r="J22" s="39" t="str">
        <x:v>true</x:v>
      </x:c>
      <x:c r="K22" s="39" t="str">
        <x:v>true</x:v>
      </x:c>
      <x:c r="L22" s="39"/>
      <x:c r="M22" s="39" t="str">
        <x:v>true</x:v>
      </x:c>
      <x:c r="N22" s="39"/>
      <x:c r="O22" s="39"/>
      <x:c r="P22" s="39"/>
      <x:c r="Q22" s="39"/>
      <x:c r="R22" s="39" t="str">
        <x:v>switch</x:v>
      </x:c>
      <x:c r="S22" s="39"/>
      <x:c r="T22" s="39" t="str">
        <x:v>False</x:v>
      </x:c>
    </x:row>
    <x:row r="23" ht="26.399999618530273" hidden="0" customHeight="1">
      <x:c r="A23" s="40" t="str">
        <x:v>archive_last_success</x:v>
      </x:c>
      <x:c r="B23" s="41" t="str">
        <x:v>Timestamp of the latest successful weekly source archive</x:v>
      </x:c>
      <x:c r="C23" s="42" t="str">
        <x:v>archive_last_success</x:v>
      </x:c>
      <x:c r="D23" s="42" t="str">
        <x:v>Last successful week export</x:v>
      </x:c>
      <x:c r="E23" s="42" t="str">
        <x:v>timestamp</x:v>
      </x:c>
      <x:c r="F23" s="42"/>
      <x:c r="G23" s="42"/>
      <x:c r="H23" s="42" t="str">
        <x:v>diagnostic</x:v>
      </x:c>
      <x:c r="I23" s="42"/>
      <x:c r="J23" s="42" t="str">
        <x:v>true</x:v>
      </x:c>
      <x:c r="K23" s="42" t="str">
        <x:v>true</x:v>
      </x:c>
      <x:c r="L23" s="42"/>
      <x:c r="M23" s="42" t="str">
        <x:v>true</x:v>
      </x:c>
      <x:c r="N23" s="42"/>
      <x:c r="O23" s="42"/>
      <x:c r="P23" s="42"/>
      <x:c r="Q23" s="42"/>
      <x:c r="R23" s="42" t="str">
        <x:v>sensor</x:v>
      </x:c>
      <x:c r="S23" s="42"/>
      <x:c r="T23" s="42" t="str">
        <x:v>drop()</x:v>
      </x:c>
    </x:row>
    <x:row r="24" ht="26.399999618530273" hidden="0" customHeight="1">
      <x:c r="A24" s="40" t="str">
        <x:v>archive_status</x:v>
      </x:c>
      <x:c r="B24" s="41" t="str">
        <x:v>Current state and diagnostics of weekly source archiving</x:v>
      </x:c>
      <x:c r="C24" s="42" t="str">
        <x:v>archive_status</x:v>
      </x:c>
      <x:c r="D24" s="42" t="str">
        <x:v>Archive status</x:v>
      </x:c>
      <x:c r="E24" s="42" t="str">
        <x:v>enum</x:v>
      </x:c>
      <x:c r="F24" s="42"/>
      <x:c r="G24" s="42"/>
      <x:c r="H24" s="42" t="str">
        <x:v>diagnostic</x:v>
      </x:c>
      <x:c r="I24" s="42" t="str">
        <x:v>mdi:archive-check</x:v>
      </x:c>
      <x:c r="J24" s="42" t="str">
        <x:v>true</x:v>
      </x:c>
      <x:c r="K24" s="42" t="str">
        <x:v>true</x:v>
      </x:c>
      <x:c r="L24" s="42"/>
      <x:c r="M24" s="42" t="str">
        <x:v>true</x:v>
      </x:c>
      <x:c r="N24" s="42"/>
      <x:c r="O24" s="42"/>
      <x:c r="P24" s="42"/>
      <x:c r="Q24" s="42"/>
      <x:c r="R24" s="42" t="str">
        <x:v>sensor</x:v>
      </x:c>
      <x:c r="S24" s="42" t="str">
        <x:v>["waiting","disabled","ok","warning","error"]</x:v>
      </x:c>
      <x:c r="T24" s="42" t="str">
        <x:v>drop()</x:v>
      </x:c>
    </x:row>
  </x:sheetData>
  <x:dataValidations count="13">
    <x:dataValidation type="list" sqref="E4:E22">
      <x:formula1>'_lists'!$B$1:$B$11</x:formula1>
    </x:dataValidation>
    <x:dataValidation type="list" sqref="F4:F22">
      <x:formula1>'_lists'!$C$1:$C$8</x:formula1>
    </x:dataValidation>
    <x:dataValidation type="list" sqref="G4:G22">
      <x:formula1>'_lists'!$D$1:$D$4</x:formula1>
    </x:dataValidation>
    <x:dataValidation type="list" sqref="H4:H22">
      <x:formula1>'_lists'!$E$1:$E$3</x:formula1>
    </x:dataValidation>
    <x:dataValidation type="list" sqref="J4:J22">
      <x:formula1>'_lists'!$G$1:$G$2</x:formula1>
    </x:dataValidation>
    <x:dataValidation type="list" sqref="K4:K22">
      <x:formula1>'_lists'!$G$1:$G$2</x:formula1>
    </x:dataValidation>
    <x:dataValidation type="list" sqref="M4:M22">
      <x:formula1>'_lists'!$G$1:$G$2</x:formula1>
    </x:dataValidation>
    <x:dataValidation type="list" sqref="Q4:Q22">
      <x:formula1>'_lists'!$F$1:$F$4</x:formula1>
    </x:dataValidation>
    <x:dataValidation type="list" sqref="R4:R22">
      <x:formula1>'_lists'!$A$1:$A$5</x:formula1>
    </x:dataValidation>
    <x:dataValidation type="list" sqref="R22:R24">
      <x:formula1>"sensor,binary_sensor,number,switch"</x:formula1>
    </x:dataValidation>
    <x:dataValidation type="list" sqref="H22:H24">
      <x:formula1>"config,diagnostic"</x:formula1>
    </x:dataValidation>
    <x:dataValidation type="list" sqref="J22:K24">
      <x:formula1>"true,false"</x:formula1>
    </x:dataValidation>
    <x:dataValidation type="list" sqref="M22:M24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11.6640625" customWidth="1"/>
    <x:col min="2" max="2" width="13.5" customWidth="1"/>
    <x:col min="3" max="3" width="4.6640625" customWidth="1"/>
    <x:col min="4" max="4" width="13.33203125" customWidth="1"/>
  </x:cols>
  <x:sheetData>
    <x:row r="1">
      <x:c r="A1" t="s">
        <x:v>30</x:v>
      </x:c>
      <x:c r="G1" t="s">
        <x:v>29</x:v>
      </x:c>
    </x:row>
    <x:row r="2">
      <x:c r="A2" t="s">
        <x:v>88</x:v>
      </x:c>
      <x:c r="B2" t="s">
        <x:v>35</x:v>
      </x:c>
      <x:c r="C2" t="s">
        <x:v>36</x:v>
      </x:c>
      <x:c r="D2" t="s">
        <x:v>37</x:v>
      </x:c>
      <x:c r="E2" t="s">
        <x:v>87</x:v>
      </x:c>
      <x:c r="F2" t="s">
        <x:v>125</x:v>
      </x:c>
      <x:c r="G2" t="s">
        <x:v>28</x:v>
      </x:c>
    </x:row>
    <x:row r="3">
      <x:c r="A3" t="s">
        <x:v>108</x:v>
      </x:c>
      <x:c r="B3" t="s">
        <x:v>116</x:v>
      </x:c>
      <x:c r="C3" t="s">
        <x:v>77</x:v>
      </x:c>
      <x:c r="D3" t="s">
        <x:v>126</x:v>
      </x:c>
      <x:c r="E3" t="s">
        <x:v>105</x:v>
      </x:c>
      <x:c r="F3" t="s">
        <x:v>118</x:v>
      </x:c>
    </x:row>
    <x:row r="4">
      <x:c r="A4" t="s">
        <x:v>127</x:v>
      </x:c>
      <x:c r="B4" t="s">
        <x:v>128</x:v>
      </x:c>
      <x:c r="C4" t="s">
        <x:v>72</x:v>
      </x:c>
      <x:c r="D4" t="s">
        <x:v>129</x:v>
      </x:c>
      <x:c r="F4" t="s">
        <x:v>107</x:v>
      </x:c>
    </x:row>
    <x:row r="5">
      <x:c r="A5" t="s">
        <x:v>130</x:v>
      </x:c>
      <x:c r="B5" t="s">
        <x:v>26</x:v>
      </x:c>
      <x:c r="C5" t="s">
        <x:v>131</x:v>
      </x:c>
    </x:row>
    <x:row r="6">
      <x:c r="A6" t="str">
        <x:v>switch</x:v>
      </x:c>
      <x:c r="B6" t="s">
        <x:v>122</x:v>
      </x:c>
      <x:c r="C6" t="s">
        <x:v>58</x:v>
      </x:c>
    </x:row>
    <x:row r="7">
      <x:c r="B7" t="s">
        <x:v>86</x:v>
      </x:c>
      <x:c r="C7" t="s">
        <x:v>104</x:v>
      </x:c>
    </x:row>
    <x:row r="8">
      <x:c r="B8" t="s">
        <x:v>97</x:v>
      </x:c>
      <x:c r="C8" s="7" t="s">
        <x:v>123</x:v>
      </x:c>
    </x:row>
    <x:row r="9">
      <x:c r="B9" t="s">
        <x:v>132</x:v>
      </x:c>
    </x:row>
    <x:row r="10">
      <x:c r="B10" s="7" t="s">
        <x:v>71</x:v>
      </x:c>
    </x:row>
    <x:row r="11">
      <x:c r="B11" s="7" t="s">
        <x:v>103</x:v>
      </x:c>
    </x:row>
    <x:row r="12">
      <x:c r="B12" t="str">
        <x:v>enum</x:v>
      </x:c>
    </x:row>
  </x:sheetData>
  <x:pageMargins left="0.7" right="0.7" top="0.75" bottom="0.75" header="0.3" footer="0.3"/>
</x:worksheet>
</file>